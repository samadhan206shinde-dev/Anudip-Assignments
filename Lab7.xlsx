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bookViews>
    <workbookView xWindow="0" yWindow="0" windowWidth="11910" windowHeight="8970" activeTab="3"/>
  </bookViews>
  <sheets>
    <sheet name="Products" sheetId="1" r:id="rId1"/>
    <sheet name="Orders" sheetId="2" r:id="rId2"/>
    <sheet name="Analysis" sheetId="3" r:id="rId3"/>
    <sheet name="Product Summary" sheetId="4" r:id="rId4"/>
  </sheets>
  <definedNames>
    <definedName name="_xlnm.Print_Area" localSheetId="1">Orders!$A$1:$H$32</definedName>
  </definedNames>
  <calcPr calcId="162913"/>
</workbook>
</file>

<file path=xl/calcChain.xml><?xml version="1.0" encoding="utf-8"?>
<calcChain xmlns="http://schemas.openxmlformats.org/spreadsheetml/2006/main">
  <c r="C4" i="4" l="1"/>
  <c r="C3" i="4"/>
  <c r="C5" i="4"/>
  <c r="C6" i="4"/>
  <c r="C7" i="4"/>
  <c r="C2" i="4"/>
  <c r="D7" i="2"/>
  <c r="D6" i="2"/>
  <c r="D3" i="2"/>
  <c r="D4" i="2"/>
  <c r="D5" i="2"/>
  <c r="D2" i="2"/>
  <c r="F2" i="2"/>
  <c r="B2" i="3" s="1"/>
  <c r="G3" i="2"/>
  <c r="G7" i="2"/>
  <c r="G6" i="2"/>
  <c r="G5" i="2"/>
  <c r="G4" i="2"/>
  <c r="G2" i="2"/>
  <c r="H7" i="2"/>
  <c r="H6" i="2"/>
  <c r="H3" i="2"/>
  <c r="H4" i="2"/>
  <c r="H5" i="2"/>
  <c r="H2" i="2"/>
  <c r="F3" i="2"/>
  <c r="F4" i="2"/>
  <c r="F5" i="2"/>
  <c r="F6" i="2"/>
  <c r="F7" i="2"/>
  <c r="E7" i="2"/>
  <c r="E6" i="2"/>
  <c r="E3" i="2"/>
  <c r="E4" i="2"/>
  <c r="E5" i="2"/>
  <c r="E2" i="2"/>
</calcChain>
</file>

<file path=xl/sharedStrings.xml><?xml version="1.0" encoding="utf-8"?>
<sst xmlns="http://schemas.openxmlformats.org/spreadsheetml/2006/main" count="38" uniqueCount="31">
  <si>
    <t>ProductID</t>
  </si>
  <si>
    <t>Product</t>
  </si>
  <si>
    <t>Price</t>
  </si>
  <si>
    <t>Product A</t>
  </si>
  <si>
    <t>Product B</t>
  </si>
  <si>
    <t>Product C</t>
  </si>
  <si>
    <t>Product D</t>
  </si>
  <si>
    <t>Product E</t>
  </si>
  <si>
    <t>Product F</t>
  </si>
  <si>
    <t>OrderID</t>
  </si>
  <si>
    <t>Quantity</t>
  </si>
  <si>
    <t>ProductName</t>
  </si>
  <si>
    <t>UnitPrice</t>
  </si>
  <si>
    <t>TotalPrice</t>
  </si>
  <si>
    <t>DiscountedPrice</t>
  </si>
  <si>
    <t>Exists?</t>
  </si>
  <si>
    <t>1. Use VLOOKUP to find the product names for each ProductID in the Orders worksheet.</t>
  </si>
  <si>
    <t>2. Use VLOOKUP to find the price for each ProductID in the Orders worksheet, then calculate the TotalPrice by multiplying the Quantity by the Product Price.</t>
  </si>
  <si>
    <t>3. Use VLOOKUP to check if there are any ProductIDs in the Orders worksheet that do not exist in the Products worksheet.</t>
  </si>
  <si>
    <t>4. Assume a discount of 10% is given on all products. Use VLOOKUP to find the original price and then calculate the discounted price.</t>
  </si>
  <si>
    <t>5. Use VLOOKUP to find the price for each ProductID and then calculate the order value. Find the maximum order value from the list.</t>
  </si>
  <si>
    <t>6. Use VLOOKUP to find out which products from the Products worksheet have not been ordered.</t>
  </si>
  <si>
    <t>7. Use VLOOKUP to find the Product name and summarize the total quantity sold for each product.</t>
  </si>
  <si>
    <t>Task</t>
  </si>
  <si>
    <t>Maximum order values</t>
  </si>
  <si>
    <t>Result</t>
  </si>
  <si>
    <t>Product not ordered</t>
  </si>
  <si>
    <t>All product have been ordered.</t>
  </si>
  <si>
    <t xml:space="preserve">Product ID </t>
  </si>
  <si>
    <t>Product Name</t>
  </si>
  <si>
    <t>Total Quantity Sold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</si>
</sst>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name val="Cambria"/>
      <family val="1"/>
      <scheme val="major"/>
    </font>
    <font>
      <sz val="11"/>
      <color theme="1"/>
      <name val="Cambria"/>
      <family val="1"/>
      <scheme val="maj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C7"/>
  <sheetViews>
    <sheetView workbookViewId="0">
      <selection activeCell="A2" sqref="A2:B7"/>
    </sheetView>
  </sheetViews>
  <sheetFormatPr defaultRowHeight="15" x14ac:dyDescent="0.25"/>
  <cols>
    <col min="1" max="2" width="14" customWidth="1"/>
    <col min="3" max="3" width="10" customWidth="1"/>
    <col min="4" max="4" width="16.42578125" customWidth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>
        <v>101</v>
      </c>
      <c r="B2" t="s">
        <v>3</v>
      </c>
      <c r="C2">
        <v>120</v>
      </c>
    </row>
    <row r="3" spans="1:3" x14ac:dyDescent="0.25">
      <c r="A3">
        <v>102</v>
      </c>
      <c r="B3" t="s">
        <v>4</v>
      </c>
      <c r="C3">
        <v>150</v>
      </c>
    </row>
    <row r="4" spans="1:3" x14ac:dyDescent="0.25">
      <c r="A4">
        <v>103</v>
      </c>
      <c r="B4" t="s">
        <v>5</v>
      </c>
      <c r="C4">
        <v>200</v>
      </c>
    </row>
    <row r="5" spans="1:3" x14ac:dyDescent="0.25">
      <c r="A5">
        <v>104</v>
      </c>
      <c r="B5" t="s">
        <v>6</v>
      </c>
      <c r="C5">
        <v>90</v>
      </c>
    </row>
    <row r="6" spans="1:3" x14ac:dyDescent="0.25">
      <c r="A6">
        <v>105</v>
      </c>
      <c r="B6" t="s">
        <v>7</v>
      </c>
      <c r="C6">
        <v>220</v>
      </c>
    </row>
    <row r="7" spans="1:3" x14ac:dyDescent="0.25">
      <c r="A7">
        <v>106</v>
      </c>
      <c r="B7" t="s">
        <v>8</v>
      </c>
      <c r="C7">
        <v>130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:H17"/>
  <sheetViews>
    <sheetView zoomScaleNormal="100" zoomScaleSheetLayoutView="100" workbookViewId="0">
      <selection activeCell="G3" sqref="G3"/>
    </sheetView>
  </sheetViews>
  <sheetFormatPr defaultRowHeight="14.25" x14ac:dyDescent="0.2"/>
  <cols>
    <col min="1" max="1" width="12" style="3" customWidth="1"/>
    <col min="2" max="2" width="14" style="3" customWidth="1"/>
    <col min="3" max="3" width="13" style="3" customWidth="1"/>
    <col min="4" max="5" width="44" style="3" customWidth="1"/>
    <col min="6" max="6" width="15" style="3" customWidth="1"/>
    <col min="7" max="7" width="20" style="3" customWidth="1"/>
    <col min="8" max="8" width="75" style="3" customWidth="1"/>
    <col min="9" max="16384" width="9.140625" style="3"/>
  </cols>
  <sheetData>
    <row r="1" spans="1:8" x14ac:dyDescent="0.2">
      <c r="A1" s="2" t="s">
        <v>9</v>
      </c>
      <c r="B1" s="2" t="s">
        <v>0</v>
      </c>
      <c r="C1" s="2" t="s">
        <v>10</v>
      </c>
      <c r="D1" s="2" t="s">
        <v>11</v>
      </c>
      <c r="E1" s="2" t="s">
        <v>12</v>
      </c>
      <c r="F1" s="2" t="s">
        <v>13</v>
      </c>
      <c r="G1" s="2" t="s">
        <v>14</v>
      </c>
      <c r="H1" s="2" t="s">
        <v>15</v>
      </c>
    </row>
    <row r="2" spans="1:8" x14ac:dyDescent="0.2">
      <c r="A2" s="3">
        <v>1</v>
      </c>
      <c r="B2" s="3">
        <v>101</v>
      </c>
      <c r="C2" s="3">
        <v>2</v>
      </c>
      <c r="D2" s="3" t="str">
        <f>VLOOKUP(B2,Products!A2:C7,2,FALSE)</f>
        <v>Product A</v>
      </c>
      <c r="E2" s="3">
        <f>VLOOKUP(B2,Products!A2:C7,3,FALSE)</f>
        <v>120</v>
      </c>
      <c r="F2" s="3">
        <f>C2*E2</f>
        <v>240</v>
      </c>
      <c r="G2" s="3">
        <f>E2-(E2*10%)</f>
        <v>108</v>
      </c>
      <c r="H2" s="3" t="str">
        <f>IF(ISNA(VLOOKUP(B2,Products!A2:C7,1,FALSE)),"Not Found","Exists")</f>
        <v>Exists</v>
      </c>
    </row>
    <row r="3" spans="1:8" x14ac:dyDescent="0.2">
      <c r="A3" s="3">
        <v>2</v>
      </c>
      <c r="B3" s="3">
        <v>103</v>
      </c>
      <c r="C3" s="3">
        <v>1</v>
      </c>
      <c r="D3" s="3" t="str">
        <f>VLOOKUP(B3,Products!A3:C8,2,FALSE)</f>
        <v>Product C</v>
      </c>
      <c r="E3" s="3">
        <f>VLOOKUP(B3,Products!A3:C8,3,FALSE)</f>
        <v>200</v>
      </c>
      <c r="F3" s="3">
        <f t="shared" ref="F3:F7" si="0">C3*E3</f>
        <v>200</v>
      </c>
      <c r="G3" s="3">
        <f>E3*90%</f>
        <v>180</v>
      </c>
      <c r="H3" s="3" t="str">
        <f>IF(ISNA(VLOOKUP(B3,Products!A3:C8,1,FALSE)),"Not Found","Exists")</f>
        <v>Exists</v>
      </c>
    </row>
    <row r="4" spans="1:8" x14ac:dyDescent="0.2">
      <c r="A4" s="3">
        <v>3</v>
      </c>
      <c r="B4" s="3">
        <v>105</v>
      </c>
      <c r="C4" s="3">
        <v>4</v>
      </c>
      <c r="D4" s="3" t="str">
        <f>VLOOKUP(B4,Products!A4:C9,2,FALSE)</f>
        <v>Product E</v>
      </c>
      <c r="E4" s="3">
        <f>VLOOKUP(B4,Products!A4:C9,3,FALSE)</f>
        <v>220</v>
      </c>
      <c r="F4" s="3">
        <f t="shared" si="0"/>
        <v>880</v>
      </c>
      <c r="G4" s="3">
        <f t="shared" ref="G3:G7" si="1">E4-(E4*10%)</f>
        <v>198</v>
      </c>
      <c r="H4" s="3" t="str">
        <f>IF(ISNA(VLOOKUP(B4,Products!A4:C9,1,FALSE)),"Not Found","Exists")</f>
        <v>Exists</v>
      </c>
    </row>
    <row r="5" spans="1:8" x14ac:dyDescent="0.2">
      <c r="A5" s="3">
        <v>4</v>
      </c>
      <c r="B5" s="3">
        <v>106</v>
      </c>
      <c r="C5" s="3">
        <v>3</v>
      </c>
      <c r="D5" s="3" t="str">
        <f>VLOOKUP(B5,Products!A5:C10,2,FALSE)</f>
        <v>Product F</v>
      </c>
      <c r="E5" s="3">
        <f>VLOOKUP(B5,Products!A5:C10,3,FALSE)</f>
        <v>130</v>
      </c>
      <c r="F5" s="3">
        <f t="shared" si="0"/>
        <v>390</v>
      </c>
      <c r="G5" s="3">
        <f t="shared" si="1"/>
        <v>117</v>
      </c>
      <c r="H5" s="3" t="str">
        <f>IF(ISNA(VLOOKUP(B5,Products!A5:C10,1,FALSE)),"Not Found","Exists")</f>
        <v>Exists</v>
      </c>
    </row>
    <row r="6" spans="1:8" x14ac:dyDescent="0.2">
      <c r="A6" s="3">
        <v>5</v>
      </c>
      <c r="B6" s="3">
        <v>102</v>
      </c>
      <c r="C6" s="3">
        <v>5</v>
      </c>
      <c r="D6" s="3" t="str">
        <f>VLOOKUP(B6,Products!A2:C7,2,FALSE)</f>
        <v>Product B</v>
      </c>
      <c r="E6" s="3">
        <f>VLOOKUP(B6,Products!A2:C71,3,FALSE)</f>
        <v>150</v>
      </c>
      <c r="F6" s="3">
        <f t="shared" si="0"/>
        <v>750</v>
      </c>
      <c r="G6" s="3">
        <f t="shared" si="1"/>
        <v>135</v>
      </c>
      <c r="H6" s="3" t="str">
        <f>IF(ISNA(VLOOKUP(B6,Products!A2:C7,1,FALSE)),"Not Found","Exists")</f>
        <v>Exists</v>
      </c>
    </row>
    <row r="7" spans="1:8" x14ac:dyDescent="0.2">
      <c r="A7" s="3">
        <v>6</v>
      </c>
      <c r="B7" s="3">
        <v>104</v>
      </c>
      <c r="C7" s="3">
        <v>6</v>
      </c>
      <c r="D7" s="3" t="str">
        <f>VLOOKUP(B7,Products!A2:C7,2,FALSE)</f>
        <v>Product D</v>
      </c>
      <c r="E7" s="3">
        <f>VLOOKUP(B7,Products!A2:C7,3,FALSE)</f>
        <v>90</v>
      </c>
      <c r="F7" s="3">
        <f t="shared" si="0"/>
        <v>540</v>
      </c>
      <c r="G7" s="3">
        <f t="shared" si="1"/>
        <v>81</v>
      </c>
      <c r="H7" s="3" t="str">
        <f>IF(ISNA(VLOOKUP(B7,Products!A2:C7,1,FALSE)),"Not Found","Exists")</f>
        <v>Exists</v>
      </c>
    </row>
    <row r="10" spans="1:8" x14ac:dyDescent="0.2">
      <c r="A10" s="3" t="s">
        <v>16</v>
      </c>
    </row>
    <row r="11" spans="1:8" x14ac:dyDescent="0.2">
      <c r="A11" s="3" t="s">
        <v>17</v>
      </c>
    </row>
    <row r="12" spans="1:8" x14ac:dyDescent="0.2">
      <c r="A12" s="3" t="s">
        <v>18</v>
      </c>
    </row>
    <row r="13" spans="1:8" x14ac:dyDescent="0.2">
      <c r="A13" s="3" t="s">
        <v>19</v>
      </c>
    </row>
    <row r="14" spans="1:8" x14ac:dyDescent="0.2">
      <c r="A14" s="3" t="s">
        <v>20</v>
      </c>
    </row>
    <row r="15" spans="1:8" x14ac:dyDescent="0.2">
      <c r="A15" s="3" t="s">
        <v>21</v>
      </c>
    </row>
    <row r="16" spans="1:8" x14ac:dyDescent="0.2">
      <c r="A16" s="3" t="s">
        <v>22</v>
      </c>
    </row>
    <row r="17" spans="4:4" ht="15" x14ac:dyDescent="0.25">
      <c r="D17"/>
    </row>
  </sheetData>
  <pageMargins left="0.75" right="0.75" top="1" bottom="1" header="0.5" footer="0.5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:B4"/>
  <sheetViews>
    <sheetView workbookViewId="0">
      <selection activeCell="B4" sqref="B4"/>
    </sheetView>
  </sheetViews>
  <sheetFormatPr defaultRowHeight="15" x14ac:dyDescent="0.25"/>
  <cols>
    <col min="1" max="1" width="42" customWidth="1"/>
    <col min="2" max="2" width="23" customWidth="1"/>
  </cols>
  <sheetData>
    <row r="1" spans="1:2" x14ac:dyDescent="0.25">
      <c r="A1" s="4" t="s">
        <v>23</v>
      </c>
      <c r="B1" s="4" t="s">
        <v>25</v>
      </c>
    </row>
    <row r="2" spans="1:2" x14ac:dyDescent="0.25">
      <c r="A2" t="s">
        <v>24</v>
      </c>
      <c r="B2">
        <f>MAX(Orders!F2:F7)</f>
        <v>880</v>
      </c>
    </row>
    <row r="3" spans="1:2" x14ac:dyDescent="0.25">
      <c r="A3" t="s">
        <v>26</v>
      </c>
      <c r="B3" t="s">
        <v>27</v>
      </c>
    </row>
    <row r="4" spans="1:2" x14ac:dyDescent="0.25">
      <c r="A4" s="1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/>
  <dimension ref="A1:C7"/>
  <sheetViews>
    <sheetView tabSelected="1" workbookViewId="0">
      <selection activeCell="C4" sqref="C4"/>
    </sheetView>
  </sheetViews>
  <sheetFormatPr defaultRowHeight="15" x14ac:dyDescent="0.25"/>
  <cols>
    <col min="1" max="2" width="17" customWidth="1"/>
    <col min="3" max="3" width="37" customWidth="1"/>
  </cols>
  <sheetData>
    <row r="1" spans="1:3" x14ac:dyDescent="0.25">
      <c r="A1" s="4" t="s">
        <v>28</v>
      </c>
      <c r="B1" s="4" t="s">
        <v>29</v>
      </c>
      <c r="C1" s="4" t="s">
        <v>30</v>
      </c>
    </row>
    <row r="2" spans="1:3" x14ac:dyDescent="0.25">
      <c r="A2">
        <v>101</v>
      </c>
      <c r="B2" t="s">
        <v>3</v>
      </c>
      <c r="C2">
        <f>SUMIF(Orders!B2:B7,A2,Orders!C2:C7)</f>
        <v>2</v>
      </c>
    </row>
    <row r="3" spans="1:3" ht="15.75" customHeight="1" x14ac:dyDescent="0.25">
      <c r="A3">
        <v>102</v>
      </c>
      <c r="B3" t="s">
        <v>4</v>
      </c>
      <c r="C3">
        <f>SUMIF(Orders!B3:B8,A3,Orders!C3:C8)</f>
        <v>5</v>
      </c>
    </row>
    <row r="4" spans="1:3" x14ac:dyDescent="0.25">
      <c r="A4">
        <v>103</v>
      </c>
      <c r="B4" t="s">
        <v>5</v>
      </c>
      <c r="C4">
        <f>SUMIF(Orders!B2:B7,Orders!A4,Orders!C2:C7)</f>
        <v>0</v>
      </c>
    </row>
    <row r="5" spans="1:3" x14ac:dyDescent="0.25">
      <c r="A5">
        <v>104</v>
      </c>
      <c r="B5" t="s">
        <v>6</v>
      </c>
      <c r="C5">
        <f>SUMIF(Orders!B5:B10,A5,Orders!C5:C10)</f>
        <v>6</v>
      </c>
    </row>
    <row r="6" spans="1:3" x14ac:dyDescent="0.25">
      <c r="A6">
        <v>105</v>
      </c>
      <c r="B6" t="s">
        <v>7</v>
      </c>
      <c r="C6">
        <f>SUMIF(Orders!B6:B11,A6,Orders!C6:C11)</f>
        <v>0</v>
      </c>
    </row>
    <row r="7" spans="1:3" x14ac:dyDescent="0.25">
      <c r="A7">
        <v>106</v>
      </c>
      <c r="B7" t="s">
        <v>8</v>
      </c>
      <c r="C7">
        <f>SUMIF(Orders!B7:B12,A7,Orders!C7:C12)</f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1</vt:i4>
      </vt:variant>
    </vt:vector>
  </HeadingPairs>
  <TitlesOfParts>
    <vt:vector size="5" baseType="lpstr">
      <vt:lpstr>Products</vt:lpstr>
      <vt:lpstr>Orders</vt:lpstr>
      <vt:lpstr>Analysis</vt:lpstr>
      <vt:lpstr>Product Summary</vt:lpstr>
      <vt:lpstr>Orders!Print_Area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</cp:lastModifiedBy>
  <dcterms:created xsi:type="dcterms:W3CDTF">2026-05-18T03:48:30Z</dcterms:created>
  <dcterms:modified xsi:type="dcterms:W3CDTF">2026-05-18T07:08:27Z</dcterms:modified>
</cp:coreProperties>
</file>